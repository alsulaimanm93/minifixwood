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e503e646f98dac8/2-Minifix solutions/!PROJECTS AND ASSETS/!CUSTOMER PROJECTS/3-PENDING CONFIRMATION/!NEW PROJECT TEMPLATE/INVOICES AND ESTIMATES/"/>
    </mc:Choice>
  </mc:AlternateContent>
  <xr:revisionPtr revIDLastSave="5" documentId="8_{C922B9D1-C8F9-4AC0-986E-67DD2F863B71}" xr6:coauthVersionLast="47" xr6:coauthVersionMax="47" xr10:uidLastSave="{CE16DA9C-C0F2-4667-BDE3-B40D08A24D51}"/>
  <bookViews>
    <workbookView xWindow="-103" yWindow="-103" windowWidth="24892" windowHeight="14914" xr2:uid="{8F1240F1-C2F7-4CB2-A72F-779CD8EA9113}"/>
  </bookViews>
  <sheets>
    <sheet name="cost price" sheetId="1" r:id="rId1"/>
    <sheet name="price list" sheetId="2" r:id="rId2"/>
  </sheets>
  <definedNames>
    <definedName name="Table7">'price list'!$J$1:$K$6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Q2" i="2"/>
  <c r="E8" i="1"/>
  <c r="F8" i="1" s="1"/>
  <c r="E9" i="1"/>
  <c r="E11" i="1"/>
  <c r="F11" i="1" s="1"/>
  <c r="E10" i="1"/>
  <c r="F10" i="1" s="1"/>
  <c r="E15" i="1"/>
  <c r="F15" i="1" s="1"/>
  <c r="E13" i="1"/>
  <c r="E14" i="1"/>
  <c r="F14" i="1" s="1"/>
  <c r="E41" i="1"/>
  <c r="F41" i="1" s="1"/>
  <c r="E21" i="1"/>
  <c r="F21" i="1" s="1"/>
  <c r="E22" i="1"/>
  <c r="F22" i="1" s="1"/>
  <c r="E29" i="1"/>
  <c r="F29" i="1" s="1"/>
  <c r="E30" i="1"/>
  <c r="F30" i="1" s="1"/>
  <c r="E31" i="1"/>
  <c r="F31" i="1" s="1"/>
  <c r="E28" i="1"/>
  <c r="F28" i="1" s="1"/>
  <c r="E20" i="1"/>
  <c r="F20" i="1" s="1"/>
  <c r="E23" i="1"/>
  <c r="F23" i="1" s="1"/>
  <c r="E35" i="1"/>
  <c r="F35" i="1" s="1"/>
  <c r="E33" i="1"/>
  <c r="F33" i="1" s="1"/>
  <c r="E34" i="1"/>
  <c r="F34" i="1" s="1"/>
  <c r="E40" i="1"/>
  <c r="F40" i="1" s="1"/>
  <c r="H20" i="2"/>
  <c r="G56" i="1"/>
  <c r="E18" i="1"/>
  <c r="F18" i="1" s="1"/>
  <c r="E19" i="1"/>
  <c r="F19" i="1" s="1"/>
  <c r="E16" i="1"/>
  <c r="F16" i="1" l="1"/>
  <c r="F13" i="1"/>
  <c r="G39" i="1"/>
  <c r="G42" i="1" s="1"/>
  <c r="G27" i="1"/>
  <c r="G37" i="1" s="1"/>
  <c r="G32" i="1"/>
  <c r="F12" i="1"/>
  <c r="F9" i="1"/>
  <c r="G17" i="1"/>
  <c r="D41" i="2"/>
  <c r="D42" i="2"/>
  <c r="D43" i="2"/>
  <c r="G36" i="1" l="1"/>
  <c r="G38" i="1" s="1"/>
  <c r="G7" i="1"/>
  <c r="G5" i="1"/>
  <c r="G24" i="1" l="1"/>
  <c r="G25" i="1" s="1"/>
  <c r="G26" i="1" s="1"/>
  <c r="G48" i="1" l="1"/>
  <c r="G55" i="1" s="1"/>
  <c r="G57" i="1" s="1"/>
  <c r="G43" i="1"/>
  <c r="G44" i="1" l="1"/>
  <c r="G51" i="1"/>
  <c r="G49" i="1"/>
  <c r="G52" i="1" l="1"/>
  <c r="G53" i="1" s="1"/>
</calcChain>
</file>

<file path=xl/sharedStrings.xml><?xml version="1.0" encoding="utf-8"?>
<sst xmlns="http://schemas.openxmlformats.org/spreadsheetml/2006/main" count="118" uniqueCount="102">
  <si>
    <t>SQM cost</t>
  </si>
  <si>
    <t>TOTAL COST</t>
  </si>
  <si>
    <t>Project SQM</t>
  </si>
  <si>
    <t>.</t>
  </si>
  <si>
    <t>OTHER COSTS</t>
  </si>
  <si>
    <t>CUTTING</t>
  </si>
  <si>
    <t>PRESSING</t>
  </si>
  <si>
    <t>Total amount</t>
  </si>
  <si>
    <t>Amount</t>
  </si>
  <si>
    <t>Unit price</t>
  </si>
  <si>
    <t>Description</t>
  </si>
  <si>
    <t>Type</t>
  </si>
  <si>
    <t>price</t>
  </si>
  <si>
    <t>LIPPING 2CM</t>
  </si>
  <si>
    <t>LIPPING 4CM</t>
  </si>
  <si>
    <t>20MM MARBLE SLAB</t>
  </si>
  <si>
    <t>20MM MARBLE SLAB DOUBLED</t>
  </si>
  <si>
    <t>CHINESE HINGE</t>
  </si>
  <si>
    <t>AUSTRIA HINGE</t>
  </si>
  <si>
    <t>CHINESE SLIDE</t>
  </si>
  <si>
    <t>SMALL HANDLE</t>
  </si>
  <si>
    <t>MEDIUM HANDLE</t>
  </si>
  <si>
    <t>BIG HANDLE</t>
  </si>
  <si>
    <t>PUSH OPEN</t>
  </si>
  <si>
    <t>MINIFIX FITTING</t>
  </si>
  <si>
    <t>1M LIGHTING</t>
  </si>
  <si>
    <t>1SQM MIRROR</t>
  </si>
  <si>
    <t>RINSER</t>
  </si>
  <si>
    <t>DIAGRAPH PUMP</t>
  </si>
  <si>
    <t>FLOJET</t>
  </si>
  <si>
    <t>KNOCKBOX</t>
  </si>
  <si>
    <t>ALUMINUM DOOR</t>
  </si>
  <si>
    <t>DELIVERY COST</t>
  </si>
  <si>
    <t>FAUCET</t>
  </si>
  <si>
    <t>ACCUMOLATOR</t>
  </si>
  <si>
    <t>SHEET,CUTTING,
LIPPING,PRESSING</t>
  </si>
  <si>
    <t>MARBLE WORK</t>
  </si>
  <si>
    <t>PRICE</t>
  </si>
  <si>
    <t>PROFIT</t>
  </si>
  <si>
    <t>LED PSW 60W</t>
  </si>
  <si>
    <t>LED PSW 100W</t>
  </si>
  <si>
    <t>LED PSW SENSOR</t>
  </si>
  <si>
    <t>TOTAL PRICE</t>
  </si>
  <si>
    <t>PROJECTED%</t>
  </si>
  <si>
    <t>VENDOR</t>
  </si>
  <si>
    <t>WOOD VENDORS</t>
  </si>
  <si>
    <t>ACCESSORIES VENDOR</t>
  </si>
  <si>
    <t>4K</t>
  </si>
  <si>
    <t>QATAR LUMBER</t>
  </si>
  <si>
    <t>CHABROS</t>
  </si>
  <si>
    <t>TARGET</t>
  </si>
  <si>
    <t>DREAMS ALMANAAI</t>
  </si>
  <si>
    <t>ULTIMATE HARDWARE</t>
  </si>
  <si>
    <t>WTR</t>
  </si>
  <si>
    <t>ALIEXPRESS</t>
  </si>
  <si>
    <t>QTY</t>
  </si>
  <si>
    <t>FINAL %</t>
  </si>
  <si>
    <t>FINAL PROFIT</t>
  </si>
  <si>
    <t>FINAL TOTAL</t>
  </si>
  <si>
    <t>COST ESTIMATION</t>
  </si>
  <si>
    <t>STEEL GROMMET</t>
  </si>
  <si>
    <t>PLASTIC GROMMET</t>
  </si>
  <si>
    <t>labor cost and rental(h)</t>
  </si>
  <si>
    <t>WORKSHOP RENTAL AND LABORCOST</t>
  </si>
  <si>
    <t>SQM SELL PRICE</t>
  </si>
  <si>
    <t>FINAL SQM SELL PRICE</t>
  </si>
  <si>
    <t>tinad ikea fridge</t>
  </si>
  <si>
    <t>beko / generalco hob</t>
  </si>
  <si>
    <t>sink and faucet (big)</t>
  </si>
  <si>
    <t>ACCESSORIES without%</t>
  </si>
  <si>
    <t>LED PSW 150W</t>
  </si>
  <si>
    <t>POWER TRACK 40 CM</t>
  </si>
  <si>
    <t>POWER TRACK 60 CM</t>
  </si>
  <si>
    <t>POWER TRACK 80 CM</t>
  </si>
  <si>
    <t>POWER TRACK 100 CM</t>
  </si>
  <si>
    <t>MAGNETIC SOCKET</t>
  </si>
  <si>
    <t>MAGNETIC USB</t>
  </si>
  <si>
    <t>20MM ARTIFICIAL MARBLE</t>
  </si>
  <si>
    <t>20MM ARTIFICIAL MARBLE DOUBLED</t>
  </si>
  <si>
    <t>18MM SHEET TURKEY</t>
  </si>
  <si>
    <t>18MM SHEET EUROPE</t>
  </si>
  <si>
    <t>18MM MDF</t>
  </si>
  <si>
    <t>1 SQM PAINTING</t>
  </si>
  <si>
    <t>OSCAR FRIDGE</t>
  </si>
  <si>
    <t>GEEPAS FRIDGE</t>
  </si>
  <si>
    <t>4MM SHEET TURKEY</t>
  </si>
  <si>
    <t>12MM MDF</t>
  </si>
  <si>
    <t>3MM PVC MARBLE</t>
  </si>
  <si>
    <t>cabinet accessories</t>
  </si>
  <si>
    <t>coffee table accessories</t>
  </si>
  <si>
    <t>TOTAL CABINET WORK COST</t>
  </si>
  <si>
    <t>CABINET PRICE WITH PROFIT</t>
  </si>
  <si>
    <t>COFFEE ACCESSORIES</t>
  </si>
  <si>
    <t>MARBLE PRICE WITH PROFIT</t>
  </si>
  <si>
    <t>built in microwave (electrolux)</t>
  </si>
  <si>
    <t>TOTAL ACCESSORIES COST</t>
  </si>
  <si>
    <t>TOTAL MARBLE WORK COST</t>
  </si>
  <si>
    <t>ACCESSORIES PRICE WITH PROFIT</t>
  </si>
  <si>
    <t>PER LABOR COST</t>
  </si>
  <si>
    <t>HOURS</t>
  </si>
  <si>
    <t>A GOLA (1M)</t>
  </si>
  <si>
    <t>C GOLA (1M)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</si>
</sst>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QAR]\ #,##0.00"/>
  </numFmts>
  <fonts count="5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theme="4" tint="0.3999755851924192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theme="4" tint="0.39997558519241921"/>
      </bottom>
      <diagonal/>
    </border>
    <border>
      <left style="thick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auto="1"/>
      </left>
      <right/>
      <top style="thin">
        <color theme="4" tint="0.39997558519241921"/>
      </top>
      <bottom/>
      <diagonal/>
    </border>
    <border>
      <left/>
      <right style="thick">
        <color auto="1"/>
      </right>
      <top style="thin">
        <color theme="4" tint="0.3999755851924192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ashed">
        <color theme="1"/>
      </left>
      <right style="dashed">
        <color theme="1"/>
      </right>
      <top style="thick">
        <color theme="1"/>
      </top>
      <bottom/>
      <diagonal/>
    </border>
    <border>
      <left style="dashed">
        <color theme="1"/>
      </left>
      <right style="dashed">
        <color theme="1"/>
      </right>
      <top/>
      <bottom/>
      <diagonal/>
    </border>
    <border>
      <left style="dashed">
        <color theme="1"/>
      </left>
      <right style="dashed">
        <color theme="1"/>
      </right>
      <top/>
      <bottom style="thick">
        <color theme="1"/>
      </bottom>
      <diagonal/>
    </border>
    <border>
      <left style="dashed">
        <color theme="1"/>
      </left>
      <right style="dashed">
        <color theme="1"/>
      </right>
      <top/>
      <bottom style="thick">
        <color auto="1"/>
      </bottom>
      <diagonal/>
    </border>
    <border>
      <left style="dashed">
        <color theme="1"/>
      </left>
      <right style="dashed">
        <color theme="1"/>
      </right>
      <top/>
      <bottom style="double">
        <color auto="1"/>
      </bottom>
      <diagonal/>
    </border>
    <border>
      <left style="dashed">
        <color theme="1"/>
      </left>
      <right style="dashed">
        <color theme="1"/>
      </right>
      <top style="double">
        <color auto="1"/>
      </top>
      <bottom/>
      <diagonal/>
    </border>
    <border>
      <left style="medium">
        <color indexed="64"/>
      </left>
      <right style="dashed">
        <color theme="1"/>
      </right>
      <top style="thick">
        <color theme="1"/>
      </top>
      <bottom/>
      <diagonal/>
    </border>
    <border>
      <left style="dashed">
        <color theme="1"/>
      </left>
      <right style="medium">
        <color indexed="64"/>
      </right>
      <top style="thick">
        <color theme="1"/>
      </top>
      <bottom/>
      <diagonal/>
    </border>
    <border>
      <left style="medium">
        <color indexed="64"/>
      </left>
      <right style="dashed">
        <color theme="1"/>
      </right>
      <top/>
      <bottom/>
      <diagonal/>
    </border>
    <border>
      <left style="dashed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theme="1"/>
      </right>
      <top/>
      <bottom style="thick">
        <color theme="1"/>
      </bottom>
      <diagonal/>
    </border>
    <border>
      <left style="dashed">
        <color theme="1"/>
      </left>
      <right style="medium">
        <color indexed="64"/>
      </right>
      <top/>
      <bottom style="thick">
        <color theme="1"/>
      </bottom>
      <diagonal/>
    </border>
    <border>
      <left style="medium">
        <color indexed="64"/>
      </left>
      <right style="dashed">
        <color theme="1"/>
      </right>
      <top/>
      <bottom style="thick">
        <color indexed="64"/>
      </bottom>
      <diagonal/>
    </border>
    <border>
      <left style="dashed">
        <color theme="1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dashed">
        <color theme="1"/>
      </right>
      <top/>
      <bottom style="double">
        <color auto="1"/>
      </bottom>
      <diagonal/>
    </border>
    <border>
      <left style="dashed">
        <color theme="1"/>
      </left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dashed">
        <color theme="1"/>
      </right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/>
      <right style="medium">
        <color indexed="64"/>
      </right>
      <top style="medium">
        <color indexed="64"/>
      </top>
      <bottom style="thick">
        <color theme="1"/>
      </bottom>
      <diagonal/>
    </border>
    <border>
      <left/>
      <right style="medium">
        <color indexed="64"/>
      </right>
      <top/>
      <bottom/>
      <diagonal/>
    </border>
    <border>
      <left style="dashed">
        <color theme="1"/>
      </left>
      <right/>
      <top/>
      <bottom/>
      <diagonal/>
    </border>
    <border>
      <left style="dashed">
        <color theme="1"/>
      </left>
      <right style="dashed">
        <color theme="1"/>
      </right>
      <top/>
      <bottom style="thin">
        <color indexed="64"/>
      </bottom>
      <diagonal/>
    </border>
    <border>
      <left style="medium">
        <color indexed="64"/>
      </left>
      <right style="dashed">
        <color theme="1"/>
      </right>
      <top/>
      <bottom style="thin">
        <color indexed="64"/>
      </bottom>
      <diagonal/>
    </border>
    <border>
      <left style="dashed">
        <color theme="1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4" borderId="2" xfId="0" applyFill="1" applyBorder="1"/>
    <xf numFmtId="0" fontId="0" fillId="4" borderId="3" xfId="0" applyFill="1" applyBorder="1"/>
    <xf numFmtId="0" fontId="0" fillId="0" borderId="2" xfId="0" applyBorder="1"/>
    <xf numFmtId="0" fontId="0" fillId="0" borderId="3" xfId="0" applyBorder="1"/>
    <xf numFmtId="0" fontId="0" fillId="5" borderId="0" xfId="0" applyFill="1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right"/>
    </xf>
    <xf numFmtId="0" fontId="2" fillId="3" borderId="5" xfId="0" applyFont="1" applyFill="1" applyBorder="1" applyAlignment="1">
      <alignment horizontal="left" vertical="center"/>
    </xf>
    <xf numFmtId="0" fontId="0" fillId="5" borderId="6" xfId="0" applyFill="1" applyBorder="1"/>
    <xf numFmtId="0" fontId="2" fillId="3" borderId="7" xfId="0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9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4" xfId="0" applyFill="1" applyBorder="1"/>
    <xf numFmtId="0" fontId="0" fillId="4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2" borderId="16" xfId="0" applyFill="1" applyBorder="1" applyAlignment="1" applyProtection="1">
      <alignment horizontal="left" wrapText="1"/>
      <protection locked="0"/>
    </xf>
    <xf numFmtId="2" fontId="0" fillId="2" borderId="16" xfId="0" applyNumberFormat="1" applyFill="1" applyBorder="1" applyAlignment="1" applyProtection="1">
      <alignment horizontal="right"/>
      <protection locked="0"/>
    </xf>
    <xf numFmtId="164" fontId="0" fillId="2" borderId="16" xfId="0" applyNumberFormat="1" applyFill="1" applyBorder="1" applyAlignment="1" applyProtection="1">
      <alignment horizontal="right"/>
      <protection locked="0"/>
    </xf>
    <xf numFmtId="0" fontId="0" fillId="2" borderId="16" xfId="0" applyFill="1" applyBorder="1" applyAlignment="1" applyProtection="1">
      <alignment horizontal="left"/>
      <protection locked="0"/>
    </xf>
    <xf numFmtId="0" fontId="0" fillId="2" borderId="18" xfId="0" applyFill="1" applyBorder="1" applyAlignment="1" applyProtection="1">
      <alignment horizontal="left"/>
      <protection locked="0"/>
    </xf>
    <xf numFmtId="2" fontId="0" fillId="2" borderId="18" xfId="0" applyNumberFormat="1" applyFill="1" applyBorder="1" applyAlignment="1" applyProtection="1">
      <alignment horizontal="right"/>
      <protection locked="0"/>
    </xf>
    <xf numFmtId="164" fontId="0" fillId="2" borderId="18" xfId="0" applyNumberFormat="1" applyFill="1" applyBorder="1" applyAlignment="1" applyProtection="1">
      <alignment horizontal="right"/>
      <protection locked="0"/>
    </xf>
    <xf numFmtId="0" fontId="3" fillId="0" borderId="16" xfId="0" applyFont="1" applyBorder="1" applyAlignment="1">
      <alignment horizontal="left"/>
    </xf>
    <xf numFmtId="2" fontId="3" fillId="0" borderId="16" xfId="0" applyNumberFormat="1" applyFont="1" applyBorder="1" applyAlignment="1">
      <alignment horizontal="right"/>
    </xf>
    <xf numFmtId="164" fontId="3" fillId="0" borderId="16" xfId="0" applyNumberFormat="1" applyFont="1" applyBorder="1" applyAlignment="1">
      <alignment horizontal="right"/>
    </xf>
    <xf numFmtId="4" fontId="3" fillId="0" borderId="16" xfId="0" applyNumberFormat="1" applyFont="1" applyBorder="1" applyAlignment="1">
      <alignment horizontal="right"/>
    </xf>
    <xf numFmtId="0" fontId="3" fillId="0" borderId="17" xfId="0" applyFont="1" applyBorder="1" applyAlignment="1">
      <alignment horizontal="left"/>
    </xf>
    <xf numFmtId="2" fontId="3" fillId="0" borderId="17" xfId="0" applyNumberFormat="1" applyFont="1" applyBorder="1" applyAlignment="1">
      <alignment horizontal="right"/>
    </xf>
    <xf numFmtId="164" fontId="3" fillId="0" borderId="17" xfId="0" applyNumberFormat="1" applyFont="1" applyBorder="1" applyAlignment="1">
      <alignment horizontal="right"/>
    </xf>
    <xf numFmtId="4" fontId="3" fillId="0" borderId="17" xfId="0" applyNumberFormat="1" applyFont="1" applyBorder="1" applyAlignment="1">
      <alignment horizontal="right"/>
    </xf>
    <xf numFmtId="0" fontId="3" fillId="6" borderId="16" xfId="0" applyFont="1" applyFill="1" applyBorder="1" applyAlignment="1">
      <alignment horizontal="left"/>
    </xf>
    <xf numFmtId="2" fontId="3" fillId="6" borderId="16" xfId="0" applyNumberFormat="1" applyFont="1" applyFill="1" applyBorder="1" applyAlignment="1">
      <alignment horizontal="right"/>
    </xf>
    <xf numFmtId="164" fontId="3" fillId="6" borderId="16" xfId="0" applyNumberFormat="1" applyFont="1" applyFill="1" applyBorder="1" applyAlignment="1">
      <alignment horizontal="right"/>
    </xf>
    <xf numFmtId="4" fontId="3" fillId="6" borderId="16" xfId="0" applyNumberFormat="1" applyFont="1" applyFill="1" applyBorder="1" applyAlignment="1">
      <alignment horizontal="right"/>
    </xf>
    <xf numFmtId="0" fontId="3" fillId="6" borderId="19" xfId="0" applyFont="1" applyFill="1" applyBorder="1" applyAlignment="1">
      <alignment horizontal="left"/>
    </xf>
    <xf numFmtId="2" fontId="3" fillId="6" borderId="19" xfId="0" applyNumberFormat="1" applyFont="1" applyFill="1" applyBorder="1" applyAlignment="1">
      <alignment horizontal="right"/>
    </xf>
    <xf numFmtId="164" fontId="3" fillId="6" borderId="19" xfId="0" applyNumberFormat="1" applyFont="1" applyFill="1" applyBorder="1" applyAlignment="1">
      <alignment horizontal="right"/>
    </xf>
    <xf numFmtId="4" fontId="3" fillId="6" borderId="19" xfId="0" applyNumberFormat="1" applyFont="1" applyFill="1" applyBorder="1" applyAlignment="1">
      <alignment horizontal="right"/>
    </xf>
    <xf numFmtId="0" fontId="4" fillId="7" borderId="15" xfId="0" applyFont="1" applyFill="1" applyBorder="1" applyAlignment="1">
      <alignment horizontal="left" vertical="center"/>
    </xf>
    <xf numFmtId="2" fontId="4" fillId="7" borderId="15" xfId="0" applyNumberFormat="1" applyFont="1" applyFill="1" applyBorder="1" applyAlignment="1">
      <alignment horizontal="right" vertical="center"/>
    </xf>
    <xf numFmtId="164" fontId="4" fillId="7" borderId="15" xfId="0" applyNumberFormat="1" applyFont="1" applyFill="1" applyBorder="1" applyAlignment="1">
      <alignment horizontal="right" vertical="center"/>
    </xf>
    <xf numFmtId="0" fontId="0" fillId="2" borderId="23" xfId="0" applyFill="1" applyBorder="1" applyAlignment="1" applyProtection="1">
      <alignment horizontal="left"/>
      <protection locked="0"/>
    </xf>
    <xf numFmtId="164" fontId="0" fillId="2" borderId="24" xfId="0" applyNumberFormat="1" applyFill="1" applyBorder="1" applyAlignment="1" applyProtection="1">
      <alignment horizontal="right"/>
      <protection locked="0"/>
    </xf>
    <xf numFmtId="0" fontId="0" fillId="2" borderId="27" xfId="0" applyFill="1" applyBorder="1" applyAlignment="1" applyProtection="1">
      <alignment horizontal="left"/>
      <protection locked="0"/>
    </xf>
    <xf numFmtId="164" fontId="0" fillId="2" borderId="28" xfId="0" applyNumberFormat="1" applyFill="1" applyBorder="1" applyAlignment="1" applyProtection="1">
      <alignment horizontal="right"/>
      <protection locked="0"/>
    </xf>
    <xf numFmtId="0" fontId="3" fillId="0" borderId="23" xfId="0" applyFont="1" applyBorder="1" applyAlignment="1">
      <alignment horizontal="left"/>
    </xf>
    <xf numFmtId="2" fontId="3" fillId="0" borderId="24" xfId="0" applyNumberFormat="1" applyFont="1" applyBorder="1" applyAlignment="1">
      <alignment horizontal="right"/>
    </xf>
    <xf numFmtId="164" fontId="3" fillId="0" borderId="24" xfId="0" applyNumberFormat="1" applyFont="1" applyBorder="1" applyAlignment="1">
      <alignment horizontal="right"/>
    </xf>
    <xf numFmtId="0" fontId="3" fillId="0" borderId="25" xfId="0" applyFont="1" applyBorder="1" applyAlignment="1">
      <alignment horizontal="left"/>
    </xf>
    <xf numFmtId="9" fontId="3" fillId="0" borderId="26" xfId="0" applyNumberFormat="1" applyFont="1" applyBorder="1" applyAlignment="1">
      <alignment horizontal="right"/>
    </xf>
    <xf numFmtId="0" fontId="3" fillId="6" borderId="23" xfId="0" applyFont="1" applyFill="1" applyBorder="1" applyAlignment="1">
      <alignment horizontal="left"/>
    </xf>
    <xf numFmtId="164" fontId="3" fillId="6" borderId="24" xfId="0" applyNumberFormat="1" applyFont="1" applyFill="1" applyBorder="1" applyAlignment="1">
      <alignment horizontal="right"/>
    </xf>
    <xf numFmtId="0" fontId="3" fillId="6" borderId="29" xfId="0" applyFont="1" applyFill="1" applyBorder="1" applyAlignment="1">
      <alignment horizontal="left"/>
    </xf>
    <xf numFmtId="0" fontId="4" fillId="7" borderId="21" xfId="0" applyFont="1" applyFill="1" applyBorder="1" applyAlignment="1">
      <alignment horizontal="left" vertical="center" wrapText="1"/>
    </xf>
    <xf numFmtId="164" fontId="4" fillId="7" borderId="22" xfId="0" applyNumberFormat="1" applyFont="1" applyFill="1" applyBorder="1" applyAlignment="1">
      <alignment horizontal="right" vertical="center"/>
    </xf>
    <xf numFmtId="0" fontId="4" fillId="7" borderId="21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left"/>
    </xf>
    <xf numFmtId="2" fontId="4" fillId="7" borderId="15" xfId="0" applyNumberFormat="1" applyFont="1" applyFill="1" applyBorder="1" applyAlignment="1">
      <alignment horizontal="right"/>
    </xf>
    <xf numFmtId="164" fontId="4" fillId="7" borderId="15" xfId="0" applyNumberFormat="1" applyFont="1" applyFill="1" applyBorder="1" applyAlignment="1">
      <alignment horizontal="right"/>
    </xf>
    <xf numFmtId="164" fontId="4" fillId="7" borderId="22" xfId="0" applyNumberFormat="1" applyFont="1" applyFill="1" applyBorder="1" applyAlignment="1">
      <alignment horizontal="righ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2" fontId="3" fillId="0" borderId="33" xfId="0" applyNumberFormat="1" applyFont="1" applyBorder="1" applyAlignment="1">
      <alignment horizontal="left"/>
    </xf>
    <xf numFmtId="164" fontId="3" fillId="0" borderId="33" xfId="0" applyNumberFormat="1" applyFont="1" applyBorder="1" applyAlignment="1">
      <alignment horizontal="right"/>
    </xf>
    <xf numFmtId="4" fontId="3" fillId="0" borderId="34" xfId="0" applyNumberFormat="1" applyFont="1" applyBorder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left" vertical="center"/>
    </xf>
    <xf numFmtId="10" fontId="3" fillId="6" borderId="30" xfId="0" applyNumberFormat="1" applyFont="1" applyFill="1" applyBorder="1" applyAlignment="1">
      <alignment horizontal="right"/>
    </xf>
    <xf numFmtId="0" fontId="4" fillId="7" borderId="23" xfId="0" applyFont="1" applyFill="1" applyBorder="1" applyAlignment="1">
      <alignment horizontal="left"/>
    </xf>
    <xf numFmtId="0" fontId="4" fillId="7" borderId="16" xfId="0" applyFont="1" applyFill="1" applyBorder="1" applyAlignment="1">
      <alignment horizontal="left"/>
    </xf>
    <xf numFmtId="2" fontId="4" fillId="7" borderId="16" xfId="0" applyNumberFormat="1" applyFont="1" applyFill="1" applyBorder="1" applyAlignment="1">
      <alignment horizontal="right"/>
    </xf>
    <xf numFmtId="164" fontId="4" fillId="7" borderId="16" xfId="0" applyNumberFormat="1" applyFont="1" applyFill="1" applyBorder="1" applyAlignment="1">
      <alignment horizontal="right"/>
    </xf>
    <xf numFmtId="164" fontId="4" fillId="7" borderId="24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 vertical="center"/>
    </xf>
    <xf numFmtId="0" fontId="0" fillId="2" borderId="29" xfId="0" applyFill="1" applyBorder="1" applyAlignment="1" applyProtection="1">
      <alignment horizontal="left"/>
      <protection locked="0"/>
    </xf>
    <xf numFmtId="0" fontId="0" fillId="2" borderId="19" xfId="0" applyFill="1" applyBorder="1" applyAlignment="1" applyProtection="1">
      <alignment horizontal="left"/>
      <protection locked="0"/>
    </xf>
    <xf numFmtId="2" fontId="0" fillId="2" borderId="19" xfId="0" applyNumberFormat="1" applyFill="1" applyBorder="1" applyAlignment="1" applyProtection="1">
      <alignment horizontal="right"/>
      <protection locked="0"/>
    </xf>
    <xf numFmtId="164" fontId="0" fillId="2" borderId="19" xfId="0" applyNumberFormat="1" applyFill="1" applyBorder="1" applyAlignment="1" applyProtection="1">
      <alignment horizontal="right"/>
      <protection locked="0"/>
    </xf>
    <xf numFmtId="164" fontId="0" fillId="2" borderId="30" xfId="0" applyNumberFormat="1" applyFill="1" applyBorder="1" applyAlignment="1" applyProtection="1">
      <alignment horizontal="right"/>
      <protection locked="0"/>
    </xf>
    <xf numFmtId="0" fontId="0" fillId="6" borderId="23" xfId="0" applyFill="1" applyBorder="1" applyAlignment="1" applyProtection="1">
      <alignment horizontal="left"/>
      <protection locked="0"/>
    </xf>
    <xf numFmtId="0" fontId="0" fillId="6" borderId="16" xfId="0" applyFill="1" applyBorder="1" applyAlignment="1" applyProtection="1">
      <alignment horizontal="left"/>
      <protection locked="0"/>
    </xf>
    <xf numFmtId="2" fontId="0" fillId="6" borderId="16" xfId="0" applyNumberFormat="1" applyFill="1" applyBorder="1" applyAlignment="1" applyProtection="1">
      <alignment horizontal="right"/>
      <protection locked="0"/>
    </xf>
    <xf numFmtId="164" fontId="0" fillId="6" borderId="16" xfId="0" applyNumberFormat="1" applyFill="1" applyBorder="1" applyAlignment="1" applyProtection="1">
      <alignment horizontal="right"/>
      <protection locked="0"/>
    </xf>
    <xf numFmtId="164" fontId="0" fillId="6" borderId="24" xfId="0" applyNumberFormat="1" applyFill="1" applyBorder="1" applyAlignment="1" applyProtection="1">
      <alignment horizontal="right"/>
      <protection locked="0"/>
    </xf>
    <xf numFmtId="0" fontId="0" fillId="7" borderId="16" xfId="0" applyFill="1" applyBorder="1" applyAlignment="1" applyProtection="1">
      <alignment horizontal="left"/>
      <protection locked="0"/>
    </xf>
    <xf numFmtId="2" fontId="0" fillId="7" borderId="16" xfId="0" applyNumberFormat="1" applyFill="1" applyBorder="1" applyAlignment="1" applyProtection="1">
      <alignment horizontal="right"/>
      <protection locked="0"/>
    </xf>
    <xf numFmtId="164" fontId="0" fillId="7" borderId="16" xfId="0" applyNumberFormat="1" applyFill="1" applyBorder="1" applyAlignment="1" applyProtection="1">
      <alignment horizontal="right"/>
      <protection locked="0"/>
    </xf>
    <xf numFmtId="0" fontId="4" fillId="9" borderId="0" xfId="0" applyFont="1" applyFill="1" applyAlignment="1">
      <alignment horizontal="left"/>
    </xf>
    <xf numFmtId="2" fontId="4" fillId="9" borderId="0" xfId="0" applyNumberFormat="1" applyFont="1" applyFill="1" applyAlignment="1">
      <alignment horizontal="right"/>
    </xf>
    <xf numFmtId="164" fontId="4" fillId="9" borderId="0" xfId="0" applyNumberFormat="1" applyFont="1" applyFill="1" applyAlignment="1">
      <alignment horizontal="right"/>
    </xf>
    <xf numFmtId="0" fontId="0" fillId="6" borderId="0" xfId="0" applyFill="1"/>
    <xf numFmtId="2" fontId="0" fillId="2" borderId="36" xfId="0" applyNumberFormat="1" applyFill="1" applyBorder="1" applyAlignment="1" applyProtection="1">
      <alignment horizontal="right"/>
      <protection locked="0"/>
    </xf>
    <xf numFmtId="164" fontId="0" fillId="2" borderId="35" xfId="0" applyNumberFormat="1" applyFill="1" applyBorder="1" applyAlignment="1" applyProtection="1">
      <alignment horizontal="right"/>
      <protection locked="0"/>
    </xf>
    <xf numFmtId="2" fontId="0" fillId="2" borderId="37" xfId="0" applyNumberFormat="1" applyFill="1" applyBorder="1" applyAlignment="1" applyProtection="1">
      <alignment horizontal="right"/>
      <protection locked="0"/>
    </xf>
    <xf numFmtId="164" fontId="0" fillId="2" borderId="37" xfId="0" applyNumberFormat="1" applyFill="1" applyBorder="1" applyAlignment="1" applyProtection="1">
      <alignment horizontal="right"/>
      <protection locked="0"/>
    </xf>
    <xf numFmtId="0" fontId="0" fillId="2" borderId="38" xfId="0" applyFill="1" applyBorder="1" applyAlignment="1" applyProtection="1">
      <alignment horizontal="left"/>
      <protection locked="0"/>
    </xf>
    <xf numFmtId="0" fontId="0" fillId="2" borderId="37" xfId="0" applyFill="1" applyBorder="1" applyAlignment="1" applyProtection="1">
      <alignment horizontal="left"/>
      <protection locked="0"/>
    </xf>
    <xf numFmtId="164" fontId="0" fillId="2" borderId="39" xfId="0" applyNumberFormat="1" applyFill="1" applyBorder="1" applyAlignment="1" applyProtection="1">
      <alignment horizontal="right"/>
      <protection locked="0"/>
    </xf>
    <xf numFmtId="0" fontId="0" fillId="10" borderId="23" xfId="0" applyFill="1" applyBorder="1" applyAlignment="1" applyProtection="1">
      <alignment horizontal="left"/>
      <protection locked="0"/>
    </xf>
    <xf numFmtId="0" fontId="0" fillId="10" borderId="16" xfId="0" applyFill="1" applyBorder="1" applyAlignment="1" applyProtection="1">
      <alignment horizontal="left"/>
      <protection locked="0"/>
    </xf>
    <xf numFmtId="2" fontId="0" fillId="10" borderId="16" xfId="0" applyNumberFormat="1" applyFill="1" applyBorder="1" applyAlignment="1" applyProtection="1">
      <alignment horizontal="right"/>
      <protection locked="0"/>
    </xf>
    <xf numFmtId="164" fontId="0" fillId="10" borderId="16" xfId="0" applyNumberFormat="1" applyFill="1" applyBorder="1" applyAlignment="1" applyProtection="1">
      <alignment horizontal="right"/>
      <protection locked="0"/>
    </xf>
    <xf numFmtId="164" fontId="0" fillId="10" borderId="24" xfId="0" applyNumberFormat="1" applyFill="1" applyBorder="1" applyAlignment="1" applyProtection="1">
      <alignment horizontal="right"/>
      <protection locked="0"/>
    </xf>
    <xf numFmtId="0" fontId="3" fillId="10" borderId="31" xfId="0" applyFont="1" applyFill="1" applyBorder="1" applyAlignment="1">
      <alignment horizontal="left"/>
    </xf>
    <xf numFmtId="0" fontId="3" fillId="10" borderId="20" xfId="0" applyFont="1" applyFill="1" applyBorder="1" applyAlignment="1">
      <alignment horizontal="left"/>
    </xf>
    <xf numFmtId="2" fontId="3" fillId="10" borderId="20" xfId="0" applyNumberFormat="1" applyFont="1" applyFill="1" applyBorder="1" applyAlignment="1">
      <alignment horizontal="right"/>
    </xf>
    <xf numFmtId="164" fontId="3" fillId="10" borderId="20" xfId="0" applyNumberFormat="1" applyFont="1" applyFill="1" applyBorder="1" applyAlignment="1">
      <alignment horizontal="right"/>
    </xf>
    <xf numFmtId="4" fontId="3" fillId="10" borderId="20" xfId="0" applyNumberFormat="1" applyFont="1" applyFill="1" applyBorder="1" applyAlignment="1">
      <alignment horizontal="right"/>
    </xf>
    <xf numFmtId="0" fontId="1" fillId="8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alignment horizontal="left" vertical="center" textRotation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6B3C2-23A2-4D9B-97C6-DDC3E30D39C5}" name="Table1" displayName="Table1" ref="A1:B12" totalsRowShown="0" headerRowDxfId="15">
  <autoFilter ref="A1:B12" xr:uid="{4D26B3C2-23A2-4D9B-97C6-DDC3E30D39C5}"/>
  <tableColumns count="2">
    <tableColumn id="1" xr3:uid="{8EFD21C6-EA52-4B7C-B4DA-861EBEB592EE}" name="SHEET,CUTTING,_x000a_LIPPING,PRESSING" dataDxfId="14"/>
    <tableColumn id="2" xr3:uid="{B0DBA9E8-9596-42F7-9E87-0E527D41360B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21D4D5-4464-4905-BD75-E642154D083E}" name="Table2" displayName="Table2" ref="G1:H21" totalsRowShown="0" headerRowDxfId="13">
  <autoFilter ref="G1:H21" xr:uid="{6221D4D5-4464-4905-BD75-E642154D083E}"/>
  <tableColumns count="2">
    <tableColumn id="1" xr3:uid="{03B55827-8070-4DD9-88D4-314DF905121C}" name="cabinet accessories"/>
    <tableColumn id="2" xr3:uid="{D717BF07-0CEA-437B-8DCB-E0A6DD843040}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407343-40C9-4B45-80B5-282D3A285ADC}" name="Table3" displayName="Table3" ref="P1:Q2" totalsRowShown="0" headerRowDxfId="12">
  <autoFilter ref="P1:Q2" xr:uid="{6F407343-40C9-4B45-80B5-282D3A285ADC}"/>
  <tableColumns count="2">
    <tableColumn id="1" xr3:uid="{15858430-28E2-4A2A-A3F9-0131E48026C5}" name="labor cost and rental(h)"/>
    <tableColumn id="2" xr3:uid="{07316A68-92F5-4976-9E70-B91DFDAD21B2}" name="price">
      <calculatedColumnFormula>33100/6/30/8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951C1D-6F2A-4B08-8ECA-5A03374B1ABB}" name="Table4" displayName="Table4" ref="S1:T2" totalsRowShown="0" headerRowDxfId="11">
  <autoFilter ref="S1:T2" xr:uid="{C4951C1D-6F2A-4B08-8ECA-5A03374B1ABB}"/>
  <tableColumns count="2">
    <tableColumn id="1" xr3:uid="{A7782D41-E54C-4BAC-8B15-6AA9BACB689B}" name="OTHER COSTS"/>
    <tableColumn id="2" xr3:uid="{23AA4A92-6FD3-4084-BFDE-7CBF258865B0}" name="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017663-BC0A-4B80-98EC-E4E0329A337D}" name="Table5" displayName="Table5" ref="V1:V5" totalsRowShown="0" headerRowDxfId="10" headerRowBorderDxfId="9" tableBorderDxfId="8" totalsRowBorderDxfId="7">
  <autoFilter ref="V1:V5" xr:uid="{0D017663-BC0A-4B80-98EC-E4E0329A337D}"/>
  <tableColumns count="1">
    <tableColumn id="1" xr3:uid="{9F874B4C-62EF-4FAF-8872-B05E43EDF309}" name="WOOD VENDO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3DF25D-8554-4555-B238-3CA7032291E1}" name="Table6" displayName="Table6" ref="X1:X6" totalsRowShown="0" headerRowDxfId="6" dataDxfId="4" headerRowBorderDxfId="5" tableBorderDxfId="3" totalsRowBorderDxfId="2">
  <autoFilter ref="X1:X6" xr:uid="{803DF25D-8554-4555-B238-3CA7032291E1}"/>
  <tableColumns count="1">
    <tableColumn id="1" xr3:uid="{C6C8B638-21B8-4CAF-8D24-BA1347A845CA}" name="ACCESSORIES VENDOR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C56FDF-C607-4C4F-90A5-348192C9FC31}" name="Table28" displayName="Table28" ref="M1:N13" totalsRowShown="0" headerRowDxfId="0">
  <autoFilter ref="M1:N13" xr:uid="{B1C56FDF-C607-4C4F-90A5-348192C9FC31}"/>
  <tableColumns count="2">
    <tableColumn id="1" xr3:uid="{864A77FA-BF97-4A9C-922C-1412E28ACFC7}" name="ACCESSORIES without%"/>
    <tableColumn id="2" xr3:uid="{23C40306-59F5-4C04-B9F8-23B2C8D9A24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0EAB-3ADC-4AEF-A27E-610AA426B504}">
  <sheetPr>
    <tabColor rgb="FFFFFF00"/>
    <pageSetUpPr fitToPage="1"/>
  </sheetPr>
  <dimension ref="A1:G58"/>
  <sheetViews>
    <sheetView tabSelected="1" zoomScaleNormal="100" workbookViewId="0">
      <selection activeCell="K4" sqref="K4"/>
    </sheetView>
  </sheetViews>
  <sheetFormatPr defaultColWidth="9.07421875" defaultRowHeight="14.6" x14ac:dyDescent="0.4"/>
  <cols>
    <col min="1" max="1" width="32.69140625" style="75" bestFit="1" customWidth="1"/>
    <col min="2" max="2" width="20.69140625" style="75" customWidth="1"/>
    <col min="3" max="3" width="8.69140625" style="75" customWidth="1"/>
    <col min="4" max="4" width="6.23046875" style="75" bestFit="1" customWidth="1"/>
    <col min="5" max="6" width="12.69140625" style="75" customWidth="1"/>
    <col min="7" max="7" width="13.23046875" style="75" bestFit="1" customWidth="1"/>
    <col min="8" max="16384" width="9.07421875" style="75"/>
  </cols>
  <sheetData>
    <row r="1" spans="1:7" x14ac:dyDescent="0.4">
      <c r="A1" s="118" t="s">
        <v>59</v>
      </c>
      <c r="B1" s="118"/>
      <c r="C1" s="118"/>
      <c r="D1" s="118"/>
      <c r="E1" s="118"/>
      <c r="F1" s="118"/>
      <c r="G1" s="118"/>
    </row>
    <row r="2" spans="1:7" x14ac:dyDescent="0.4">
      <c r="A2" s="118"/>
      <c r="B2" s="118"/>
      <c r="C2" s="118"/>
      <c r="D2" s="118"/>
      <c r="E2" s="118"/>
      <c r="F2" s="118"/>
      <c r="G2" s="118"/>
    </row>
    <row r="3" spans="1:7" ht="15" thickBot="1" x14ac:dyDescent="0.45">
      <c r="A3" s="119"/>
      <c r="B3" s="119"/>
      <c r="C3" s="119"/>
      <c r="D3" s="119"/>
      <c r="E3" s="119"/>
      <c r="F3" s="119"/>
      <c r="G3" s="119"/>
    </row>
    <row r="4" spans="1:7" ht="15" thickBot="1" x14ac:dyDescent="0.45">
      <c r="A4" s="70" t="s">
        <v>11</v>
      </c>
      <c r="B4" s="71" t="s">
        <v>10</v>
      </c>
      <c r="C4" s="71" t="s">
        <v>44</v>
      </c>
      <c r="D4" s="72" t="s">
        <v>55</v>
      </c>
      <c r="E4" s="73" t="s">
        <v>9</v>
      </c>
      <c r="F4" s="73" t="s">
        <v>8</v>
      </c>
      <c r="G4" s="74" t="s">
        <v>7</v>
      </c>
    </row>
    <row r="5" spans="1:7" ht="15" thickTop="1" x14ac:dyDescent="0.4">
      <c r="A5" s="78" t="s">
        <v>63</v>
      </c>
      <c r="B5" s="79"/>
      <c r="C5" s="79" t="s">
        <v>99</v>
      </c>
      <c r="D5" s="80" t="s">
        <v>55</v>
      </c>
      <c r="E5" s="81"/>
      <c r="F5" s="81"/>
      <c r="G5" s="82">
        <f>SUM(F6:F6)</f>
        <v>0</v>
      </c>
    </row>
    <row r="6" spans="1:7" ht="15" thickBot="1" x14ac:dyDescent="0.45">
      <c r="A6" s="51" t="s">
        <v>98</v>
      </c>
      <c r="B6" s="28"/>
      <c r="C6" s="28"/>
      <c r="D6" s="26"/>
      <c r="E6" s="27">
        <v>25</v>
      </c>
      <c r="F6" s="27">
        <f>IFERROR((D6*C6)*E6,0)</f>
        <v>0</v>
      </c>
      <c r="G6" s="52"/>
    </row>
    <row r="7" spans="1:7" ht="29.6" thickTop="1" x14ac:dyDescent="0.4">
      <c r="A7" s="63" t="s">
        <v>35</v>
      </c>
      <c r="B7" s="48"/>
      <c r="C7" s="48"/>
      <c r="D7" s="49"/>
      <c r="E7" s="50"/>
      <c r="F7" s="50"/>
      <c r="G7" s="64">
        <f>SUM(F8:F16)</f>
        <v>0</v>
      </c>
    </row>
    <row r="8" spans="1:7" x14ac:dyDescent="0.4">
      <c r="A8" s="51"/>
      <c r="B8" s="28"/>
      <c r="C8" s="28"/>
      <c r="D8" s="26"/>
      <c r="E8" s="27">
        <f>IFERROR(VLOOKUP(A8,Table1[#All],2,FALSE),0)</f>
        <v>0</v>
      </c>
      <c r="F8" s="27">
        <f>IFERROR(D8*E8,0)</f>
        <v>0</v>
      </c>
      <c r="G8" s="52"/>
    </row>
    <row r="9" spans="1:7" x14ac:dyDescent="0.4">
      <c r="A9" s="51"/>
      <c r="B9" s="28"/>
      <c r="C9" s="28"/>
      <c r="D9" s="26"/>
      <c r="E9" s="27">
        <f>IFERROR(VLOOKUP(A9,Table1[#All],2,FALSE),0)</f>
        <v>0</v>
      </c>
      <c r="F9" s="27">
        <f t="shared" ref="F9:F16" si="0">IFERROR(D9*E9,0)</f>
        <v>0</v>
      </c>
      <c r="G9" s="52"/>
    </row>
    <row r="10" spans="1:7" x14ac:dyDescent="0.4">
      <c r="A10" s="51"/>
      <c r="B10" s="28"/>
      <c r="C10" s="28"/>
      <c r="D10" s="26"/>
      <c r="E10" s="27">
        <f>IFERROR(VLOOKUP(A10,Table1[#All],2,FALSE),0)</f>
        <v>0</v>
      </c>
      <c r="F10" s="27">
        <f t="shared" ref="F10" si="1">IFERROR(D10*E10,0)</f>
        <v>0</v>
      </c>
      <c r="G10" s="52"/>
    </row>
    <row r="11" spans="1:7" x14ac:dyDescent="0.4">
      <c r="A11" s="51"/>
      <c r="B11" s="28"/>
      <c r="C11" s="28"/>
      <c r="D11" s="26"/>
      <c r="E11" s="27">
        <f>IFERROR(VLOOKUP(A11,Table1[#All],2,FALSE),0)</f>
        <v>0</v>
      </c>
      <c r="F11" s="27">
        <f t="shared" ref="F11" si="2">IFERROR(D11*E11,0)</f>
        <v>0</v>
      </c>
      <c r="G11" s="52"/>
    </row>
    <row r="12" spans="1:7" x14ac:dyDescent="0.4">
      <c r="A12" s="51"/>
      <c r="B12" s="28"/>
      <c r="C12" s="28"/>
      <c r="D12" s="26"/>
      <c r="E12" s="27">
        <v>160</v>
      </c>
      <c r="F12" s="27">
        <f t="shared" si="0"/>
        <v>0</v>
      </c>
      <c r="G12" s="52"/>
    </row>
    <row r="13" spans="1:7" x14ac:dyDescent="0.4">
      <c r="A13" s="51"/>
      <c r="B13" s="28"/>
      <c r="C13" s="28"/>
      <c r="D13" s="26"/>
      <c r="E13" s="27">
        <f>IFERROR(VLOOKUP(A13,Table1[#All],2,FALSE),0)</f>
        <v>0</v>
      </c>
      <c r="F13" s="27">
        <f t="shared" ref="F13" si="3">IFERROR(D13*E13,0)</f>
        <v>0</v>
      </c>
      <c r="G13" s="52"/>
    </row>
    <row r="14" spans="1:7" x14ac:dyDescent="0.4">
      <c r="A14" s="51"/>
      <c r="B14" s="28"/>
      <c r="C14" s="28"/>
      <c r="D14" s="26"/>
      <c r="E14" s="27">
        <f>IFERROR(VLOOKUP(A14,Table1[#All],2,FALSE),0)</f>
        <v>0</v>
      </c>
      <c r="F14" s="27">
        <f t="shared" ref="F14" si="4">IFERROR(D14*E14,0)</f>
        <v>0</v>
      </c>
      <c r="G14" s="52"/>
    </row>
    <row r="15" spans="1:7" x14ac:dyDescent="0.4">
      <c r="A15" s="51"/>
      <c r="B15" s="28"/>
      <c r="C15" s="28"/>
      <c r="D15" s="26"/>
      <c r="E15" s="27">
        <f>IFERROR(VLOOKUP(A15,Table1[#All],2,FALSE),0)</f>
        <v>0</v>
      </c>
      <c r="F15" s="27">
        <f t="shared" ref="F15" si="5">IFERROR(D15*E15,0)</f>
        <v>0</v>
      </c>
      <c r="G15" s="52"/>
    </row>
    <row r="16" spans="1:7" ht="15" thickBot="1" x14ac:dyDescent="0.45">
      <c r="A16" s="51"/>
      <c r="B16" s="28"/>
      <c r="C16" s="28"/>
      <c r="D16" s="26"/>
      <c r="E16" s="27">
        <f>IFERROR(VLOOKUP(A16,Table1[#All],2,FALSE),0)</f>
        <v>0</v>
      </c>
      <c r="F16" s="27">
        <f t="shared" si="0"/>
        <v>0</v>
      </c>
      <c r="G16" s="52"/>
    </row>
    <row r="17" spans="1:7" ht="15" thickTop="1" x14ac:dyDescent="0.4">
      <c r="A17" s="65" t="s">
        <v>88</v>
      </c>
      <c r="B17" s="66"/>
      <c r="C17" s="66"/>
      <c r="D17" s="67"/>
      <c r="E17" s="68"/>
      <c r="F17" s="68"/>
      <c r="G17" s="69">
        <f>SUM(F18:F23)</f>
        <v>0</v>
      </c>
    </row>
    <row r="18" spans="1:7" x14ac:dyDescent="0.4">
      <c r="A18" s="51"/>
      <c r="B18" s="28"/>
      <c r="C18" s="28"/>
      <c r="D18" s="26"/>
      <c r="E18" s="27">
        <f>IFERROR(VLOOKUP(A18,Table2[#All],2,FALSE),0)</f>
        <v>0</v>
      </c>
      <c r="F18" s="27">
        <f t="shared" ref="F18:F19" si="6">IFERROR(D18*E18,0)</f>
        <v>0</v>
      </c>
      <c r="G18" s="52"/>
    </row>
    <row r="19" spans="1:7" x14ac:dyDescent="0.4">
      <c r="A19" s="51"/>
      <c r="B19" s="28"/>
      <c r="C19" s="28"/>
      <c r="D19" s="26"/>
      <c r="E19" s="27">
        <f>IFERROR(VLOOKUP(A19,Table2[#All],2,FALSE),0)</f>
        <v>0</v>
      </c>
      <c r="F19" s="27">
        <f t="shared" si="6"/>
        <v>0</v>
      </c>
      <c r="G19" s="52"/>
    </row>
    <row r="20" spans="1:7" x14ac:dyDescent="0.4">
      <c r="A20" s="51"/>
      <c r="B20" s="28"/>
      <c r="C20" s="28"/>
      <c r="D20" s="26"/>
      <c r="E20" s="27">
        <f>IFERROR(VLOOKUP(A20,Table2[#All],2,FALSE),0)</f>
        <v>0</v>
      </c>
      <c r="F20" s="27">
        <f t="shared" ref="F20" si="7">IFERROR(D20*E20,0)</f>
        <v>0</v>
      </c>
      <c r="G20" s="52"/>
    </row>
    <row r="21" spans="1:7" x14ac:dyDescent="0.4">
      <c r="A21" s="51"/>
      <c r="B21" s="28"/>
      <c r="C21" s="28"/>
      <c r="D21" s="26"/>
      <c r="E21" s="27">
        <f>IFERROR(VLOOKUP(A21,Table2[#All],2,FALSE),0)</f>
        <v>0</v>
      </c>
      <c r="F21" s="27">
        <f t="shared" ref="F21" si="8">IFERROR(D21*E21,0)</f>
        <v>0</v>
      </c>
      <c r="G21" s="52"/>
    </row>
    <row r="22" spans="1:7" x14ac:dyDescent="0.4">
      <c r="A22" s="51"/>
      <c r="B22" s="28"/>
      <c r="C22" s="28"/>
      <c r="D22" s="26"/>
      <c r="E22" s="27">
        <f>IFERROR(VLOOKUP(A22,Table2[#All],2,FALSE),0)</f>
        <v>0</v>
      </c>
      <c r="F22" s="27">
        <f t="shared" ref="F22" si="9">IFERROR(D22*E22,0)</f>
        <v>0</v>
      </c>
      <c r="G22" s="52"/>
    </row>
    <row r="23" spans="1:7" ht="15" thickBot="1" x14ac:dyDescent="0.45">
      <c r="A23" s="84"/>
      <c r="B23" s="85"/>
      <c r="C23" s="85"/>
      <c r="D23" s="86"/>
      <c r="E23" s="87">
        <f>IFERROR(VLOOKUP(A23,Table2[#All],2,FALSE),0)</f>
        <v>0</v>
      </c>
      <c r="F23" s="87">
        <f t="shared" ref="F23" si="10">IFERROR(D23*E23,0)</f>
        <v>0</v>
      </c>
      <c r="G23" s="88"/>
    </row>
    <row r="24" spans="1:7" ht="15" thickTop="1" x14ac:dyDescent="0.4">
      <c r="A24" s="89" t="s">
        <v>90</v>
      </c>
      <c r="B24" s="90"/>
      <c r="C24" s="90"/>
      <c r="D24" s="91"/>
      <c r="E24" s="92"/>
      <c r="F24" s="92"/>
      <c r="G24" s="93">
        <f>SUM(G5:G23)</f>
        <v>0</v>
      </c>
    </row>
    <row r="25" spans="1:7" x14ac:dyDescent="0.4">
      <c r="A25" s="100" t="s">
        <v>38</v>
      </c>
      <c r="B25" s="90"/>
      <c r="C25" s="90"/>
      <c r="D25" s="91"/>
      <c r="E25" s="92"/>
      <c r="F25" s="92"/>
      <c r="G25" s="93">
        <f>G24*G50</f>
        <v>0</v>
      </c>
    </row>
    <row r="26" spans="1:7" ht="15" thickBot="1" x14ac:dyDescent="0.45">
      <c r="A26" s="108" t="s">
        <v>91</v>
      </c>
      <c r="B26" s="109"/>
      <c r="C26" s="109"/>
      <c r="D26" s="110"/>
      <c r="E26" s="111"/>
      <c r="F26" s="111"/>
      <c r="G26" s="112">
        <f>G24+G25</f>
        <v>0</v>
      </c>
    </row>
    <row r="27" spans="1:7" ht="15" thickTop="1" x14ac:dyDescent="0.4">
      <c r="A27" s="65" t="s">
        <v>92</v>
      </c>
      <c r="B27" s="94"/>
      <c r="C27" s="94"/>
      <c r="D27" s="95"/>
      <c r="E27" s="96"/>
      <c r="F27" s="96"/>
      <c r="G27" s="69">
        <f>SUM(F28:F31)</f>
        <v>0</v>
      </c>
    </row>
    <row r="28" spans="1:7" x14ac:dyDescent="0.4">
      <c r="A28" s="51"/>
      <c r="B28" s="28"/>
      <c r="C28" s="28"/>
      <c r="D28" s="101"/>
      <c r="E28" s="27">
        <f>IFERROR(VLOOKUP(A28,Table7,2,FALSE),0)</f>
        <v>0</v>
      </c>
      <c r="F28" s="27">
        <f t="shared" ref="F28" si="11">IFERROR(D28*E28,0)</f>
        <v>0</v>
      </c>
      <c r="G28" s="102"/>
    </row>
    <row r="29" spans="1:7" x14ac:dyDescent="0.4">
      <c r="A29" s="51"/>
      <c r="B29" s="28"/>
      <c r="C29" s="28"/>
      <c r="D29" s="26"/>
      <c r="E29" s="27">
        <f>IFERROR(VLOOKUP(A29,Table7,2,FALSE),0)</f>
        <v>0</v>
      </c>
      <c r="F29" s="27">
        <f t="shared" ref="F29:F31" si="12">IFERROR(D29*E29,0)</f>
        <v>0</v>
      </c>
      <c r="G29" s="52"/>
    </row>
    <row r="30" spans="1:7" x14ac:dyDescent="0.4">
      <c r="A30" s="51"/>
      <c r="B30" s="28"/>
      <c r="C30" s="28"/>
      <c r="D30" s="26"/>
      <c r="E30" s="27">
        <f>IFERROR(VLOOKUP(A30,Table7,2,FALSE),0)</f>
        <v>0</v>
      </c>
      <c r="F30" s="27">
        <f t="shared" si="12"/>
        <v>0</v>
      </c>
      <c r="G30" s="52"/>
    </row>
    <row r="31" spans="1:7" x14ac:dyDescent="0.4">
      <c r="A31" s="51"/>
      <c r="B31" s="28"/>
      <c r="C31" s="28"/>
      <c r="D31" s="26"/>
      <c r="E31" s="27">
        <f>IFERROR(VLOOKUP(A31,Table7,2,FALSE),0)</f>
        <v>0</v>
      </c>
      <c r="F31" s="27">
        <f t="shared" si="12"/>
        <v>0</v>
      </c>
      <c r="G31" s="52"/>
    </row>
    <row r="32" spans="1:7" x14ac:dyDescent="0.4">
      <c r="A32" s="97" t="s">
        <v>69</v>
      </c>
      <c r="B32" s="97"/>
      <c r="C32" s="97"/>
      <c r="D32" s="98"/>
      <c r="E32" s="99"/>
      <c r="F32" s="99"/>
      <c r="G32" s="99">
        <f>SUM(F33:F35)</f>
        <v>0</v>
      </c>
    </row>
    <row r="33" spans="1:7" x14ac:dyDescent="0.4">
      <c r="A33" s="51"/>
      <c r="B33" s="28"/>
      <c r="C33" s="28"/>
      <c r="D33" s="26"/>
      <c r="E33" s="27">
        <f>IFERROR(VLOOKUP(A33,Table28[#All],2,FALSE),0)</f>
        <v>0</v>
      </c>
      <c r="F33" s="27">
        <f t="shared" ref="F33" si="13">IFERROR(D33*E33,0)</f>
        <v>0</v>
      </c>
      <c r="G33" s="52"/>
    </row>
    <row r="34" spans="1:7" x14ac:dyDescent="0.4">
      <c r="A34" s="51"/>
      <c r="B34" s="28"/>
      <c r="C34" s="28"/>
      <c r="D34" s="26"/>
      <c r="E34" s="27">
        <f>IFERROR(VLOOKUP(A34,Table28[#All],2,FALSE),0)</f>
        <v>0</v>
      </c>
      <c r="F34" s="27">
        <f t="shared" ref="F34" si="14">IFERROR(D34*E34,0)</f>
        <v>0</v>
      </c>
      <c r="G34" s="52"/>
    </row>
    <row r="35" spans="1:7" ht="15" thickBot="1" x14ac:dyDescent="0.45">
      <c r="A35" s="84"/>
      <c r="B35" s="85"/>
      <c r="C35" s="85"/>
      <c r="D35" s="86"/>
      <c r="E35" s="87">
        <f>IFERROR(VLOOKUP(A35,Table28[#All],2,FALSE),0)</f>
        <v>0</v>
      </c>
      <c r="F35" s="87">
        <f t="shared" ref="F35" si="15">IFERROR(D35*E35,0)</f>
        <v>0</v>
      </c>
      <c r="G35" s="88"/>
    </row>
    <row r="36" spans="1:7" ht="15" thickTop="1" x14ac:dyDescent="0.4">
      <c r="A36" s="89" t="s">
        <v>95</v>
      </c>
      <c r="B36" s="90"/>
      <c r="C36" s="90"/>
      <c r="D36" s="91"/>
      <c r="E36" s="92"/>
      <c r="F36" s="92"/>
      <c r="G36" s="93">
        <f>SUM(G27:G35)</f>
        <v>0</v>
      </c>
    </row>
    <row r="37" spans="1:7" x14ac:dyDescent="0.4">
      <c r="A37" s="89" t="s">
        <v>38</v>
      </c>
      <c r="B37" s="90"/>
      <c r="C37" s="90"/>
      <c r="D37" s="91"/>
      <c r="E37" s="92"/>
      <c r="F37" s="92"/>
      <c r="G37" s="93">
        <f>SUM(G27:G31)*G50</f>
        <v>0</v>
      </c>
    </row>
    <row r="38" spans="1:7" ht="15" thickBot="1" x14ac:dyDescent="0.45">
      <c r="A38" s="108" t="s">
        <v>97</v>
      </c>
      <c r="B38" s="109"/>
      <c r="C38" s="109"/>
      <c r="D38" s="110"/>
      <c r="E38" s="111"/>
      <c r="F38" s="111"/>
      <c r="G38" s="112">
        <f>G37+G36</f>
        <v>0</v>
      </c>
    </row>
    <row r="39" spans="1:7" ht="15" thickTop="1" x14ac:dyDescent="0.4">
      <c r="A39" s="65" t="s">
        <v>36</v>
      </c>
      <c r="B39" s="66"/>
      <c r="C39" s="66"/>
      <c r="D39" s="67"/>
      <c r="E39" s="68"/>
      <c r="F39" s="68"/>
      <c r="G39" s="69">
        <f>SUM(F40:F41)</f>
        <v>0</v>
      </c>
    </row>
    <row r="40" spans="1:7" x14ac:dyDescent="0.4">
      <c r="A40" s="51"/>
      <c r="B40" s="25"/>
      <c r="C40" s="25"/>
      <c r="D40" s="26"/>
      <c r="E40" s="27">
        <f>IFERROR(VLOOKUP(A40,'price list'!D1:E5,2,FALSE),0)</f>
        <v>0</v>
      </c>
      <c r="F40" s="27">
        <f>IFERROR(D40*E40,0)</f>
        <v>0</v>
      </c>
      <c r="G40" s="52"/>
    </row>
    <row r="41" spans="1:7" x14ac:dyDescent="0.4">
      <c r="A41" s="105"/>
      <c r="B41" s="106"/>
      <c r="C41" s="106"/>
      <c r="D41" s="103"/>
      <c r="E41" s="104">
        <f>IFERROR(VLOOKUP(A41,'price list'!D2:E6,2,FALSE),0)</f>
        <v>0</v>
      </c>
      <c r="F41" s="104">
        <f>IFERROR(D41*E41,0)</f>
        <v>0</v>
      </c>
      <c r="G41" s="107"/>
    </row>
    <row r="42" spans="1:7" x14ac:dyDescent="0.4">
      <c r="A42" s="89" t="s">
        <v>96</v>
      </c>
      <c r="B42" s="90"/>
      <c r="C42" s="90"/>
      <c r="D42" s="91"/>
      <c r="E42" s="92"/>
      <c r="F42" s="92"/>
      <c r="G42" s="93">
        <f>SUM(G39:G41)</f>
        <v>0</v>
      </c>
    </row>
    <row r="43" spans="1:7" x14ac:dyDescent="0.4">
      <c r="A43" s="89" t="s">
        <v>38</v>
      </c>
      <c r="B43" s="90"/>
      <c r="C43" s="90"/>
      <c r="D43" s="91"/>
      <c r="E43" s="92"/>
      <c r="F43" s="92"/>
      <c r="G43" s="93">
        <f>G42*G50</f>
        <v>0</v>
      </c>
    </row>
    <row r="44" spans="1:7" ht="15" thickBot="1" x14ac:dyDescent="0.45">
      <c r="A44" s="108" t="s">
        <v>93</v>
      </c>
      <c r="B44" s="109"/>
      <c r="C44" s="109"/>
      <c r="D44" s="110"/>
      <c r="E44" s="111"/>
      <c r="F44" s="111"/>
      <c r="G44" s="112">
        <f>G43+G42</f>
        <v>0</v>
      </c>
    </row>
    <row r="45" spans="1:7" ht="15" thickTop="1" x14ac:dyDescent="0.4">
      <c r="A45" s="65" t="s">
        <v>4</v>
      </c>
      <c r="B45" s="66"/>
      <c r="C45" s="66"/>
      <c r="D45" s="67"/>
      <c r="E45" s="68"/>
      <c r="F45" s="68"/>
      <c r="G45" s="69"/>
    </row>
    <row r="46" spans="1:7" ht="15" thickBot="1" x14ac:dyDescent="0.45">
      <c r="A46" s="53"/>
      <c r="B46" s="29"/>
      <c r="C46" s="29"/>
      <c r="D46" s="30"/>
      <c r="E46" s="31"/>
      <c r="F46" s="31"/>
      <c r="G46" s="54" t="s">
        <v>3</v>
      </c>
    </row>
    <row r="47" spans="1:7" ht="15" thickTop="1" x14ac:dyDescent="0.4">
      <c r="A47" s="55" t="s">
        <v>2</v>
      </c>
      <c r="B47" s="32"/>
      <c r="C47" s="32"/>
      <c r="D47" s="33"/>
      <c r="E47" s="34"/>
      <c r="F47" s="35"/>
      <c r="G47" s="56"/>
    </row>
    <row r="48" spans="1:7" x14ac:dyDescent="0.4">
      <c r="A48" s="55" t="s">
        <v>1</v>
      </c>
      <c r="B48" s="32"/>
      <c r="C48" s="32"/>
      <c r="D48" s="33"/>
      <c r="E48" s="34"/>
      <c r="F48" s="35"/>
      <c r="G48" s="57">
        <f>G24+G36+G42</f>
        <v>0</v>
      </c>
    </row>
    <row r="49" spans="1:7" x14ac:dyDescent="0.4">
      <c r="A49" s="55" t="s">
        <v>0</v>
      </c>
      <c r="B49" s="32"/>
      <c r="C49" s="32"/>
      <c r="D49" s="33"/>
      <c r="E49" s="34"/>
      <c r="F49" s="35"/>
      <c r="G49" s="57">
        <f>IFERROR(G48/G47,0)</f>
        <v>0</v>
      </c>
    </row>
    <row r="50" spans="1:7" ht="15" thickBot="1" x14ac:dyDescent="0.45">
      <c r="A50" s="58" t="s">
        <v>43</v>
      </c>
      <c r="B50" s="36"/>
      <c r="C50" s="36"/>
      <c r="D50" s="37"/>
      <c r="E50" s="38"/>
      <c r="F50" s="39"/>
      <c r="G50" s="59">
        <v>0.6</v>
      </c>
    </row>
    <row r="51" spans="1:7" ht="15" thickTop="1" x14ac:dyDescent="0.4">
      <c r="A51" s="55" t="s">
        <v>38</v>
      </c>
      <c r="B51" s="32"/>
      <c r="C51" s="32"/>
      <c r="D51" s="33"/>
      <c r="E51" s="34"/>
      <c r="F51" s="35"/>
      <c r="G51" s="57">
        <f>G43+G37+G25</f>
        <v>0</v>
      </c>
    </row>
    <row r="52" spans="1:7" x14ac:dyDescent="0.4">
      <c r="A52" s="55" t="s">
        <v>42</v>
      </c>
      <c r="B52" s="32"/>
      <c r="C52" s="32"/>
      <c r="D52" s="33"/>
      <c r="E52" s="34"/>
      <c r="F52" s="35"/>
      <c r="G52" s="57">
        <f>G51+G48</f>
        <v>0</v>
      </c>
    </row>
    <row r="53" spans="1:7" ht="15" thickBot="1" x14ac:dyDescent="0.45">
      <c r="A53" s="55" t="s">
        <v>64</v>
      </c>
      <c r="B53" s="32"/>
      <c r="C53" s="32"/>
      <c r="D53" s="33"/>
      <c r="E53" s="34"/>
      <c r="F53" s="35"/>
      <c r="G53" s="57">
        <f>IFERROR(G52/G47,0)</f>
        <v>0</v>
      </c>
    </row>
    <row r="54" spans="1:7" ht="15" thickTop="1" x14ac:dyDescent="0.4">
      <c r="A54" s="113" t="s">
        <v>58</v>
      </c>
      <c r="B54" s="114"/>
      <c r="C54" s="114"/>
      <c r="D54" s="115"/>
      <c r="E54" s="116"/>
      <c r="F54" s="117"/>
      <c r="G54" s="117"/>
    </row>
    <row r="55" spans="1:7" x14ac:dyDescent="0.4">
      <c r="A55" s="60" t="s">
        <v>57</v>
      </c>
      <c r="B55" s="40"/>
      <c r="C55" s="40"/>
      <c r="D55" s="41"/>
      <c r="E55" s="42"/>
      <c r="F55" s="43"/>
      <c r="G55" s="61">
        <f>G54-G48</f>
        <v>0</v>
      </c>
    </row>
    <row r="56" spans="1:7" x14ac:dyDescent="0.4">
      <c r="A56" s="60" t="s">
        <v>65</v>
      </c>
      <c r="B56" s="40"/>
      <c r="C56" s="40"/>
      <c r="D56" s="41"/>
      <c r="E56" s="42"/>
      <c r="F56" s="43"/>
      <c r="G56" s="61">
        <f>IFERROR(G54/G47,0)</f>
        <v>0</v>
      </c>
    </row>
    <row r="57" spans="1:7" ht="15" thickBot="1" x14ac:dyDescent="0.45">
      <c r="A57" s="62" t="s">
        <v>56</v>
      </c>
      <c r="B57" s="44"/>
      <c r="C57" s="44"/>
      <c r="D57" s="45"/>
      <c r="E57" s="46"/>
      <c r="F57" s="47"/>
      <c r="G57" s="77">
        <f>IFERROR(G55/(G48-G32),0)</f>
        <v>0</v>
      </c>
    </row>
    <row r="58" spans="1:7" ht="15" thickTop="1" x14ac:dyDescent="0.4"/>
  </sheetData>
  <mergeCells count="1">
    <mergeCell ref="A1:G3"/>
  </mergeCells>
  <printOptions horizontalCentered="1" verticalCentered="1"/>
  <pageMargins left="0.7" right="0.7" top="0.75" bottom="0.75" header="0.3" footer="0.3"/>
  <pageSetup paperSize="9" scale="96" fitToHeight="0" orientation="portrait" r:id="rId1"/>
  <ignoredErrors>
    <ignoredError sqref="E23:F23 E33:F35 E8:F9 E16:F18 F12 E19:F2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8EB8260-BDD7-4C81-B5A2-225556845029}">
          <x14:formula1>
            <xm:f>'price list'!$X$2:$X$6</xm:f>
          </x14:formula1>
          <xm:sqref>C33:C35 C18:C23</xm:sqref>
        </x14:dataValidation>
        <x14:dataValidation type="list" allowBlank="1" showInputMessage="1" showErrorMessage="1" xr:uid="{42C80542-93CB-4D7C-8FB0-3F61B3CA0F3E}">
          <x14:formula1>
            <xm:f>'price list'!$P$2</xm:f>
          </x14:formula1>
          <xm:sqref>A6</xm:sqref>
        </x14:dataValidation>
        <x14:dataValidation type="list" allowBlank="1" showInputMessage="1" showErrorMessage="1" xr:uid="{C5496A72-8BE9-4C3C-B434-47F29EDE3E3B}">
          <x14:formula1>
            <xm:f>'price list'!$D$2:$D$5</xm:f>
          </x14:formula1>
          <xm:sqref>A40:A41</xm:sqref>
        </x14:dataValidation>
        <x14:dataValidation type="list" allowBlank="1" showInputMessage="1" showErrorMessage="1" xr:uid="{DC21B3D7-3A72-4793-A996-2C6D804B61B1}">
          <x14:formula1>
            <xm:f>'price list'!$J$2:$J$6</xm:f>
          </x14:formula1>
          <xm:sqref>A28:A31</xm:sqref>
        </x14:dataValidation>
        <x14:dataValidation type="list" allowBlank="1" showInputMessage="1" showErrorMessage="1" xr:uid="{C8385CE9-E1A1-44D5-A4F6-8804071DE651}">
          <x14:formula1>
            <xm:f>'price list'!$M$2:$M$13</xm:f>
          </x14:formula1>
          <xm:sqref>A33:A35</xm:sqref>
        </x14:dataValidation>
        <x14:dataValidation type="list" allowBlank="1" showInputMessage="1" showErrorMessage="1" xr:uid="{5C5B6CF2-AA48-40F9-918E-527B2F576E92}">
          <x14:formula1>
            <xm:f>'price list'!$V$2:$V$5</xm:f>
          </x14:formula1>
          <xm:sqref>C8:C16</xm:sqref>
        </x14:dataValidation>
        <x14:dataValidation type="list" allowBlank="1" showInputMessage="1" showErrorMessage="1" xr:uid="{4D1B1EBD-BFD2-498A-BE97-C9827DD8288F}">
          <x14:formula1>
            <xm:f>'price list'!$A$2:$A$12</xm:f>
          </x14:formula1>
          <xm:sqref>A8:A16</xm:sqref>
        </x14:dataValidation>
        <x14:dataValidation type="list" allowBlank="1" showInputMessage="1" showErrorMessage="1" xr:uid="{6BF6C535-423A-4530-9771-B438AE394AC3}">
          <x14:formula1>
            <xm:f>'price list'!$G$2:$G$21</xm:f>
          </x14:formula1>
          <xm:sqref>A18:A23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2AF1-9B7A-4892-A88C-DB55582D6577}">
  <sheetPr>
    <tabColor rgb="FFFF0000"/>
  </sheetPr>
  <dimension ref="A1:X43"/>
  <sheetViews>
    <sheetView workbookViewId="0">
      <selection activeCell="J21" sqref="J21"/>
    </sheetView>
  </sheetViews>
  <sheetFormatPr defaultColWidth="8.69140625" defaultRowHeight="14.6" x14ac:dyDescent="0.4"/>
  <cols>
    <col min="1" max="1" width="19" style="75" bestFit="1" customWidth="1"/>
    <col min="2" max="2" width="7.4609375" style="75" bestFit="1" customWidth="1"/>
    <col min="3" max="3" width="8.69140625" style="75"/>
    <col min="4" max="4" width="30.69140625" style="75" bestFit="1" customWidth="1"/>
    <col min="5" max="5" width="5.84375" style="75" bestFit="1" customWidth="1"/>
    <col min="6" max="6" width="13.84375" style="75" customWidth="1"/>
    <col min="7" max="7" width="20.69140625" style="75" bestFit="1" customWidth="1"/>
    <col min="8" max="8" width="7.4609375" style="75" bestFit="1" customWidth="1"/>
    <col min="9" max="9" width="7.4609375" style="75" customWidth="1"/>
    <col min="10" max="10" width="21.23046875" style="75" bestFit="1" customWidth="1"/>
    <col min="11" max="11" width="5.07421875" style="75" bestFit="1" customWidth="1"/>
    <col min="12" max="12" width="14.4609375" style="75" customWidth="1"/>
    <col min="13" max="13" width="25.23046875" style="75" bestFit="1" customWidth="1"/>
    <col min="14" max="14" width="7.69140625" style="75" bestFit="1" customWidth="1"/>
    <col min="15" max="15" width="14.4609375" style="75" customWidth="1"/>
    <col min="16" max="16" width="29.07421875" style="75" bestFit="1" customWidth="1"/>
    <col min="17" max="17" width="7.4609375" style="75" bestFit="1" customWidth="1"/>
    <col min="18" max="18" width="8.69140625" style="75"/>
    <col min="19" max="19" width="14.69140625" style="75" bestFit="1" customWidth="1"/>
    <col min="20" max="20" width="7.4609375" style="75" bestFit="1" customWidth="1"/>
    <col min="21" max="21" width="8.69140625" style="75" customWidth="1"/>
    <col min="22" max="22" width="17.07421875" style="75" bestFit="1" customWidth="1"/>
    <col min="23" max="23" width="8.69140625" style="75"/>
    <col min="24" max="24" width="22.4609375" style="75" bestFit="1" customWidth="1"/>
    <col min="25" max="16384" width="8.69140625" style="75"/>
  </cols>
  <sheetData>
    <row r="1" spans="1:24" ht="29.6" thickTop="1" x14ac:dyDescent="0.4">
      <c r="A1" s="2" t="s">
        <v>35</v>
      </c>
      <c r="B1" s="3" t="s">
        <v>12</v>
      </c>
      <c r="C1" s="76"/>
      <c r="D1" s="9" t="s">
        <v>36</v>
      </c>
      <c r="E1" s="10" t="s">
        <v>37</v>
      </c>
      <c r="G1" s="3" t="s">
        <v>88</v>
      </c>
      <c r="H1" s="3" t="s">
        <v>12</v>
      </c>
      <c r="J1" s="83" t="s">
        <v>89</v>
      </c>
      <c r="K1" s="10" t="s">
        <v>12</v>
      </c>
      <c r="M1" s="3" t="s">
        <v>69</v>
      </c>
      <c r="N1" s="3" t="s">
        <v>12</v>
      </c>
      <c r="P1" s="3" t="s">
        <v>62</v>
      </c>
      <c r="Q1" s="3" t="s">
        <v>12</v>
      </c>
      <c r="S1" s="3" t="s">
        <v>4</v>
      </c>
      <c r="T1" s="3" t="s">
        <v>12</v>
      </c>
      <c r="V1" s="12" t="s">
        <v>45</v>
      </c>
      <c r="W1" s="13"/>
      <c r="X1" s="14" t="s">
        <v>46</v>
      </c>
    </row>
    <row r="2" spans="1:24" x14ac:dyDescent="0.4">
      <c r="A2" t="s">
        <v>79</v>
      </c>
      <c r="B2" s="1">
        <v>205</v>
      </c>
      <c r="D2" s="4" t="s">
        <v>15</v>
      </c>
      <c r="E2" s="11">
        <v>550</v>
      </c>
      <c r="G2" t="s">
        <v>17</v>
      </c>
      <c r="H2">
        <v>3.5</v>
      </c>
      <c r="J2" s="4" t="s">
        <v>27</v>
      </c>
      <c r="K2" s="5">
        <v>200</v>
      </c>
      <c r="M2" t="s">
        <v>83</v>
      </c>
      <c r="N2">
        <v>550</v>
      </c>
      <c r="P2" s="75" t="s">
        <v>98</v>
      </c>
      <c r="Q2" s="75">
        <f>33100/6/30/8</f>
        <v>22.986111111111111</v>
      </c>
      <c r="S2" t="s">
        <v>32</v>
      </c>
      <c r="T2">
        <v>100</v>
      </c>
      <c r="V2" s="15" t="s">
        <v>47</v>
      </c>
      <c r="W2" s="8"/>
      <c r="X2" s="16" t="s">
        <v>51</v>
      </c>
    </row>
    <row r="3" spans="1:24" x14ac:dyDescent="0.4">
      <c r="A3" t="s">
        <v>13</v>
      </c>
      <c r="B3" s="1">
        <v>2</v>
      </c>
      <c r="D3" s="6" t="s">
        <v>16</v>
      </c>
      <c r="E3" s="7">
        <v>750</v>
      </c>
      <c r="G3" t="s">
        <v>19</v>
      </c>
      <c r="H3">
        <v>25</v>
      </c>
      <c r="J3" s="6" t="s">
        <v>29</v>
      </c>
      <c r="K3" s="7">
        <v>300</v>
      </c>
      <c r="M3" t="s">
        <v>84</v>
      </c>
      <c r="N3">
        <v>600</v>
      </c>
      <c r="V3" s="17" t="s">
        <v>48</v>
      </c>
      <c r="W3" s="8"/>
      <c r="X3" s="18" t="s">
        <v>52</v>
      </c>
    </row>
    <row r="4" spans="1:24" x14ac:dyDescent="0.4">
      <c r="A4" t="s">
        <v>14</v>
      </c>
      <c r="B4" s="1">
        <v>6</v>
      </c>
      <c r="D4" s="4" t="s">
        <v>77</v>
      </c>
      <c r="E4" s="5">
        <v>350</v>
      </c>
      <c r="G4" t="s">
        <v>24</v>
      </c>
      <c r="H4">
        <v>0.25</v>
      </c>
      <c r="J4" s="4" t="s">
        <v>33</v>
      </c>
      <c r="K4" s="5">
        <v>50</v>
      </c>
      <c r="M4" t="s">
        <v>94</v>
      </c>
      <c r="N4">
        <v>1350</v>
      </c>
      <c r="V4" s="15" t="s">
        <v>49</v>
      </c>
      <c r="W4" s="8"/>
      <c r="X4" s="16" t="s">
        <v>50</v>
      </c>
    </row>
    <row r="5" spans="1:24" x14ac:dyDescent="0.4">
      <c r="A5" t="s">
        <v>5</v>
      </c>
      <c r="B5">
        <v>10</v>
      </c>
      <c r="D5" s="6" t="s">
        <v>78</v>
      </c>
      <c r="E5" s="7">
        <v>550</v>
      </c>
      <c r="G5" t="s">
        <v>23</v>
      </c>
      <c r="H5">
        <v>3.5</v>
      </c>
      <c r="J5" s="6" t="s">
        <v>30</v>
      </c>
      <c r="K5" s="7">
        <v>100</v>
      </c>
      <c r="M5" t="s">
        <v>66</v>
      </c>
      <c r="N5">
        <v>3100</v>
      </c>
      <c r="V5" s="19" t="s">
        <v>50</v>
      </c>
      <c r="W5" s="8"/>
      <c r="X5" s="18" t="s">
        <v>53</v>
      </c>
    </row>
    <row r="6" spans="1:24" x14ac:dyDescent="0.4">
      <c r="A6" t="s">
        <v>6</v>
      </c>
      <c r="B6">
        <v>10</v>
      </c>
      <c r="G6" t="s">
        <v>61</v>
      </c>
      <c r="H6">
        <v>3.5</v>
      </c>
      <c r="J6" s="4" t="s">
        <v>34</v>
      </c>
      <c r="K6" s="5">
        <v>95</v>
      </c>
      <c r="M6" t="s">
        <v>67</v>
      </c>
      <c r="N6">
        <v>550</v>
      </c>
      <c r="V6" s="20"/>
      <c r="W6" s="8"/>
      <c r="X6" s="21" t="s">
        <v>54</v>
      </c>
    </row>
    <row r="7" spans="1:24" ht="15" thickBot="1" x14ac:dyDescent="0.45">
      <c r="A7" t="s">
        <v>85</v>
      </c>
      <c r="B7" s="1">
        <v>50</v>
      </c>
      <c r="G7" t="s">
        <v>25</v>
      </c>
      <c r="H7">
        <v>25</v>
      </c>
      <c r="M7" t="s">
        <v>68</v>
      </c>
      <c r="N7">
        <v>400</v>
      </c>
      <c r="V7" s="22"/>
      <c r="W7" s="23"/>
      <c r="X7" s="24"/>
    </row>
    <row r="8" spans="1:24" ht="15" thickTop="1" x14ac:dyDescent="0.4">
      <c r="A8" t="s">
        <v>80</v>
      </c>
      <c r="B8" s="1">
        <v>300</v>
      </c>
      <c r="G8" t="s">
        <v>100</v>
      </c>
      <c r="H8">
        <v>25</v>
      </c>
      <c r="M8" t="s">
        <v>71</v>
      </c>
      <c r="N8">
        <v>70</v>
      </c>
    </row>
    <row r="9" spans="1:24" x14ac:dyDescent="0.4">
      <c r="A9" t="s">
        <v>81</v>
      </c>
      <c r="B9" s="1">
        <v>58</v>
      </c>
      <c r="G9" t="s">
        <v>101</v>
      </c>
      <c r="H9">
        <v>25</v>
      </c>
      <c r="M9" t="s">
        <v>72</v>
      </c>
      <c r="N9">
        <v>110</v>
      </c>
    </row>
    <row r="10" spans="1:24" x14ac:dyDescent="0.4">
      <c r="A10" t="s">
        <v>86</v>
      </c>
      <c r="B10" s="1">
        <v>45</v>
      </c>
      <c r="G10" t="s">
        <v>39</v>
      </c>
      <c r="H10">
        <v>25</v>
      </c>
      <c r="M10" t="s">
        <v>73</v>
      </c>
      <c r="N10">
        <v>140</v>
      </c>
    </row>
    <row r="11" spans="1:24" x14ac:dyDescent="0.4">
      <c r="A11" t="s">
        <v>87</v>
      </c>
      <c r="B11" s="1">
        <v>110</v>
      </c>
      <c r="G11" t="s">
        <v>40</v>
      </c>
      <c r="H11">
        <v>30</v>
      </c>
      <c r="M11" t="s">
        <v>74</v>
      </c>
      <c r="N11">
        <v>160</v>
      </c>
    </row>
    <row r="12" spans="1:24" x14ac:dyDescent="0.4">
      <c r="A12" t="s">
        <v>82</v>
      </c>
      <c r="B12" s="1">
        <v>100</v>
      </c>
      <c r="G12" t="s">
        <v>70</v>
      </c>
      <c r="H12">
        <v>40</v>
      </c>
      <c r="M12" t="s">
        <v>75</v>
      </c>
      <c r="N12">
        <v>35</v>
      </c>
    </row>
    <row r="13" spans="1:24" x14ac:dyDescent="0.4">
      <c r="G13" t="s">
        <v>41</v>
      </c>
      <c r="H13">
        <v>14</v>
      </c>
      <c r="M13" t="s">
        <v>76</v>
      </c>
      <c r="N13">
        <v>50</v>
      </c>
    </row>
    <row r="14" spans="1:24" x14ac:dyDescent="0.4">
      <c r="G14" t="s">
        <v>26</v>
      </c>
      <c r="H14">
        <v>80</v>
      </c>
    </row>
    <row r="15" spans="1:24" x14ac:dyDescent="0.4">
      <c r="G15" t="s">
        <v>20</v>
      </c>
      <c r="H15">
        <v>10</v>
      </c>
    </row>
    <row r="16" spans="1:24" x14ac:dyDescent="0.4">
      <c r="G16" t="s">
        <v>21</v>
      </c>
      <c r="H16">
        <v>20</v>
      </c>
    </row>
    <row r="17" spans="7:8" x14ac:dyDescent="0.4">
      <c r="G17" t="s">
        <v>22</v>
      </c>
      <c r="H17">
        <v>30</v>
      </c>
    </row>
    <row r="18" spans="7:8" x14ac:dyDescent="0.4">
      <c r="G18" t="s">
        <v>60</v>
      </c>
      <c r="H18">
        <v>10</v>
      </c>
    </row>
    <row r="19" spans="7:8" x14ac:dyDescent="0.4">
      <c r="G19" t="s">
        <v>31</v>
      </c>
      <c r="H19">
        <v>300</v>
      </c>
    </row>
    <row r="20" spans="7:8" x14ac:dyDescent="0.4">
      <c r="G20" t="s">
        <v>28</v>
      </c>
      <c r="H20">
        <f>185+65</f>
        <v>250</v>
      </c>
    </row>
    <row r="21" spans="7:8" x14ac:dyDescent="0.4">
      <c r="G21" t="s">
        <v>18</v>
      </c>
      <c r="H21">
        <v>9</v>
      </c>
    </row>
    <row r="41" spans="4:4" x14ac:dyDescent="0.4">
      <c r="D41" s="75" t="str">
        <f t="shared" ref="D41:D43" si="0">UPPER(D21)</f>
        <v/>
      </c>
    </row>
    <row r="42" spans="4:4" x14ac:dyDescent="0.4">
      <c r="D42" s="75" t="str">
        <f t="shared" si="0"/>
        <v/>
      </c>
    </row>
    <row r="43" spans="4:4" x14ac:dyDescent="0.4">
      <c r="D43" s="75" t="str">
        <f t="shared" si="0"/>
        <v/>
      </c>
    </row>
  </sheetData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cost price</vt:lpstr>
      <vt:lpstr>price list</vt:lpstr>
      <vt:lpstr>Table7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Salman</dc:creator>
  <cp:lastModifiedBy>Mohammed Salman</cp:lastModifiedBy>
  <cp:lastPrinted>2024-06-30T21:32:47Z</cp:lastPrinted>
  <dcterms:created xsi:type="dcterms:W3CDTF">2024-06-28T08:57:47Z</dcterms:created>
  <dcterms:modified xsi:type="dcterms:W3CDTF">2026-01-13T05:42:30Z</dcterms:modified>
</cp:coreProperties>
</file>